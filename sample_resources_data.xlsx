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Marina\cursor\ic\bi-analytics\"/>
    </mc:Choice>
  </mc:AlternateContent>
  <xr:revisionPtr revIDLastSave="0" documentId="13_ncr:1_{62F1411C-D5DD-4D98-8F48-8801C1A1B0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eop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G16" i="1"/>
  <c r="H16" i="1"/>
  <c r="I16" i="1"/>
  <c r="J16" i="1"/>
  <c r="D16" i="1"/>
  <c r="E15" i="1"/>
  <c r="K15" i="1" s="1"/>
  <c r="L15" i="1" s="1"/>
  <c r="E14" i="1"/>
  <c r="K14" i="1" s="1"/>
  <c r="L14" i="1" s="1"/>
  <c r="E13" i="1"/>
  <c r="K13" i="1" s="1"/>
  <c r="L13" i="1" s="1"/>
  <c r="E12" i="1"/>
  <c r="K12" i="1" s="1"/>
  <c r="L12" i="1" s="1"/>
  <c r="E11" i="1"/>
  <c r="K11" i="1" s="1"/>
  <c r="L11" i="1" s="1"/>
  <c r="E10" i="1"/>
  <c r="K10" i="1" s="1"/>
  <c r="L10" i="1" s="1"/>
  <c r="E9" i="1"/>
  <c r="K9" i="1" s="1"/>
  <c r="L9" i="1" s="1"/>
  <c r="E8" i="1"/>
  <c r="K8" i="1" s="1"/>
  <c r="L8" i="1" s="1"/>
  <c r="E7" i="1"/>
  <c r="K7" i="1" s="1"/>
  <c r="L7" i="1" s="1"/>
  <c r="E6" i="1"/>
  <c r="K6" i="1" s="1"/>
  <c r="L6" i="1" s="1"/>
  <c r="E5" i="1"/>
  <c r="K5" i="1" s="1"/>
  <c r="L5" i="1" s="1"/>
  <c r="E4" i="1"/>
  <c r="K4" i="1" s="1"/>
  <c r="L4" i="1" s="1"/>
  <c r="E3" i="1"/>
  <c r="K3" i="1" s="1"/>
  <c r="L3" i="1" s="1"/>
  <c r="E2" i="1"/>
  <c r="K2" i="1" s="1"/>
  <c r="L2" i="1" s="1"/>
  <c r="E16" i="1" l="1"/>
  <c r="K16" i="1"/>
  <c r="L16" i="1" s="1"/>
</calcChain>
</file>

<file path=xl/sharedStrings.xml><?xml version="1.0" encoding="utf-8"?>
<sst xmlns="http://schemas.openxmlformats.org/spreadsheetml/2006/main" count="41" uniqueCount="29">
  <si>
    <t>Проект</t>
  </si>
  <si>
    <t>Контрагент</t>
  </si>
  <si>
    <t>1 неделя</t>
  </si>
  <si>
    <t>2 неделя</t>
  </si>
  <si>
    <t>3 неделя</t>
  </si>
  <si>
    <t>4 неделя</t>
  </si>
  <si>
    <t>5 неделя</t>
  </si>
  <si>
    <t>Дельта</t>
  </si>
  <si>
    <t>Дельта (%)</t>
  </si>
  <si>
    <t>Дмитровский</t>
  </si>
  <si>
    <t>ООО Пакс Механизация</t>
  </si>
  <si>
    <t>ООО СК Сети</t>
  </si>
  <si>
    <t>ООО СТМ Оскол</t>
  </si>
  <si>
    <t>ООО СтройСервис</t>
  </si>
  <si>
    <t>ООО Альфа С (БЛОК U3 U4)</t>
  </si>
  <si>
    <t>ООО Инвесткомстрой (БЛОК U1 U2)</t>
  </si>
  <si>
    <t>Ленинский</t>
  </si>
  <si>
    <t>ООО САВ-Строй (вертикальная планировка)</t>
  </si>
  <si>
    <t>ООО Стройдекор</t>
  </si>
  <si>
    <t>ООО СвайСпецСтрой</t>
  </si>
  <si>
    <t>Есипово V</t>
  </si>
  <si>
    <t>ООО Апекс Контракшн</t>
  </si>
  <si>
    <t xml:space="preserve">ООО Мегастрой </t>
  </si>
  <si>
    <t>ООО Технофло</t>
  </si>
  <si>
    <t>СТМ - Оскол</t>
  </si>
  <si>
    <t>Итого</t>
  </si>
  <si>
    <t>План</t>
  </si>
  <si>
    <t>Среднее за месяц</t>
  </si>
  <si>
    <t>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</si>
</sst>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ED7D31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rgb="FFFFFFFF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495966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BDBDB"/>
        <bgColor rgb="FF000000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FFFFFF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5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0" fillId="0" borderId="2" xfId="0" applyBorder="1"/>
    <xf numFmtId="0" fontId="2" fillId="2" borderId="2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7" fontId="3" fillId="3" borderId="2" xfId="0" applyNumberFormat="1" applyFont="1" applyFill="1" applyBorder="1" applyAlignment="1">
      <alignment vertical="center"/>
    </xf>
    <xf numFmtId="1" fontId="4" fillId="4" borderId="2" xfId="0" applyNumberFormat="1" applyFont="1" applyFill="1" applyBorder="1" applyAlignment="1">
      <alignment horizontal="center" vertical="center"/>
    </xf>
    <xf numFmtId="9" fontId="4" fillId="4" borderId="2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</cellXfs>
  <cellStyles count="1">
    <cellStyle name="Обычный" xfId="0" builtinId="0"/>
  </cellStyles>
  <dxfs count="39">
    <dxf>
      <font>
        <b/>
        <i val="0"/>
        <color rgb="FFBF8F00"/>
      </font>
      <fill>
        <patternFill>
          <bgColor rgb="FFFFE699"/>
        </patternFill>
      </fill>
    </dxf>
    <dxf>
      <font>
        <b/>
        <i val="0"/>
        <color rgb="FF548235"/>
      </font>
      <fill>
        <patternFill>
          <bgColor rgb="FFC6E0B4"/>
        </patternFill>
      </fill>
    </dxf>
    <dxf>
      <font>
        <b/>
        <i val="0"/>
        <color rgb="FFFF0000"/>
      </font>
      <fill>
        <patternFill>
          <bgColor rgb="FFF493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7D31"/>
      </font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BF8F00"/>
      </font>
      <fill>
        <patternFill>
          <bgColor rgb="FFFFE699"/>
        </patternFill>
      </fill>
    </dxf>
    <dxf>
      <font>
        <b/>
        <i val="0"/>
        <color rgb="FF548235"/>
      </font>
      <fill>
        <patternFill>
          <bgColor rgb="FFC6E0B4"/>
        </patternFill>
      </fill>
    </dxf>
    <dxf>
      <font>
        <b/>
        <i val="0"/>
        <color rgb="FFFF0000"/>
      </font>
      <fill>
        <patternFill>
          <bgColor rgb="FFF493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7D31"/>
      </font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BF8F00"/>
      </font>
      <fill>
        <patternFill>
          <bgColor rgb="FFFFE699"/>
        </patternFill>
      </fill>
    </dxf>
    <dxf>
      <font>
        <b/>
        <i val="0"/>
        <color rgb="FF548235"/>
      </font>
      <fill>
        <patternFill>
          <bgColor rgb="FFC6E0B4"/>
        </patternFill>
      </fill>
    </dxf>
    <dxf>
      <font>
        <b/>
        <i val="0"/>
        <color rgb="FFFF0000"/>
      </font>
      <fill>
        <patternFill>
          <bgColor rgb="FFF4938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ED7D31"/>
      </font>
      <fill>
        <patternFill>
          <bgColor rgb="FFF8CBAD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sqref="A1:L16"/>
    </sheetView>
  </sheetViews>
  <sheetFormatPr defaultRowHeight="15" x14ac:dyDescent="0.25"/>
  <cols>
    <col min="1" max="1" width="15.140625" bestFit="1" customWidth="1"/>
    <col min="2" max="2" width="84.85546875" bestFit="1" customWidth="1"/>
    <col min="3" max="3" width="26" customWidth="1"/>
    <col min="4" max="4" width="18.140625" bestFit="1" customWidth="1"/>
  </cols>
  <sheetData>
    <row r="1" spans="1:12" x14ac:dyDescent="0.25">
      <c r="A1" s="9" t="s">
        <v>0</v>
      </c>
      <c r="B1" s="9" t="s">
        <v>1</v>
      </c>
      <c r="C1" s="9" t="s">
        <v>28</v>
      </c>
      <c r="D1" s="10" t="s">
        <v>26</v>
      </c>
      <c r="E1" s="10" t="s">
        <v>27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0" t="s">
        <v>7</v>
      </c>
      <c r="L1" s="10" t="s">
        <v>8</v>
      </c>
    </row>
    <row r="2" spans="1:12" x14ac:dyDescent="0.25">
      <c r="A2" s="12" t="s">
        <v>9</v>
      </c>
      <c r="B2" s="1" t="s">
        <v>10</v>
      </c>
      <c r="C2" s="13">
        <v>45962</v>
      </c>
      <c r="D2" s="5">
        <v>12</v>
      </c>
      <c r="E2" s="14">
        <f>AVERAGE(F2:J2)</f>
        <v>1.2</v>
      </c>
      <c r="F2" s="2">
        <v>0</v>
      </c>
      <c r="G2" s="2">
        <v>0</v>
      </c>
      <c r="H2" s="2">
        <v>0</v>
      </c>
      <c r="I2" s="2">
        <v>3</v>
      </c>
      <c r="J2" s="2">
        <v>3</v>
      </c>
      <c r="K2" s="14">
        <f t="shared" ref="K2:K13" si="0">E2-D2</f>
        <v>-10.8</v>
      </c>
      <c r="L2" s="15">
        <f>K2/D2</f>
        <v>-0.9</v>
      </c>
    </row>
    <row r="3" spans="1:12" x14ac:dyDescent="0.25">
      <c r="A3" s="12" t="s">
        <v>9</v>
      </c>
      <c r="B3" s="1" t="s">
        <v>11</v>
      </c>
      <c r="C3" s="13">
        <v>45962</v>
      </c>
      <c r="D3" s="5">
        <v>7</v>
      </c>
      <c r="E3" s="14">
        <f t="shared" ref="E3:E15" si="1">AVERAGE(F3:J3)</f>
        <v>6.6</v>
      </c>
      <c r="F3" s="2">
        <v>0</v>
      </c>
      <c r="G3" s="2">
        <v>0</v>
      </c>
      <c r="H3" s="2">
        <v>11</v>
      </c>
      <c r="I3" s="2">
        <v>11</v>
      </c>
      <c r="J3" s="2">
        <v>11</v>
      </c>
      <c r="K3" s="14">
        <f t="shared" si="0"/>
        <v>-0.40000000000000036</v>
      </c>
      <c r="L3" s="15">
        <f t="shared" ref="L3:L15" si="2">K3/D3</f>
        <v>-5.7142857142857197E-2</v>
      </c>
    </row>
    <row r="4" spans="1:12" x14ac:dyDescent="0.25">
      <c r="A4" s="12" t="s">
        <v>9</v>
      </c>
      <c r="B4" s="1" t="s">
        <v>12</v>
      </c>
      <c r="C4" s="13">
        <v>45962</v>
      </c>
      <c r="D4" s="5">
        <v>7</v>
      </c>
      <c r="E4" s="14">
        <f t="shared" si="1"/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14">
        <f t="shared" si="0"/>
        <v>-7</v>
      </c>
      <c r="L4" s="15">
        <f t="shared" si="2"/>
        <v>-1</v>
      </c>
    </row>
    <row r="5" spans="1:12" x14ac:dyDescent="0.25">
      <c r="A5" s="12" t="s">
        <v>9</v>
      </c>
      <c r="B5" s="1" t="s">
        <v>13</v>
      </c>
      <c r="C5" s="13">
        <v>45962</v>
      </c>
      <c r="D5" s="5">
        <v>20</v>
      </c>
      <c r="E5" s="14">
        <f t="shared" si="1"/>
        <v>0.6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14">
        <f t="shared" si="0"/>
        <v>-19.399999999999999</v>
      </c>
      <c r="L5" s="15">
        <f t="shared" si="2"/>
        <v>-0.97</v>
      </c>
    </row>
    <row r="6" spans="1:12" x14ac:dyDescent="0.25">
      <c r="A6" s="12" t="s">
        <v>9</v>
      </c>
      <c r="B6" s="1" t="s">
        <v>14</v>
      </c>
      <c r="C6" s="13">
        <v>45962</v>
      </c>
      <c r="D6" s="5">
        <v>59</v>
      </c>
      <c r="E6" s="14">
        <f t="shared" si="1"/>
        <v>8</v>
      </c>
      <c r="F6" s="3"/>
      <c r="G6" s="3"/>
      <c r="H6" s="2">
        <v>5</v>
      </c>
      <c r="I6" s="2">
        <v>9</v>
      </c>
      <c r="J6" s="2">
        <v>10</v>
      </c>
      <c r="K6" s="14">
        <f t="shared" si="0"/>
        <v>-51</v>
      </c>
      <c r="L6" s="15">
        <f t="shared" si="2"/>
        <v>-0.86440677966101698</v>
      </c>
    </row>
    <row r="7" spans="1:12" x14ac:dyDescent="0.25">
      <c r="A7" s="12" t="s">
        <v>9</v>
      </c>
      <c r="B7" s="1" t="s">
        <v>15</v>
      </c>
      <c r="C7" s="13">
        <v>45962</v>
      </c>
      <c r="D7" s="5">
        <v>59</v>
      </c>
      <c r="E7" s="14">
        <f t="shared" si="1"/>
        <v>2.3333333333333335</v>
      </c>
      <c r="F7" s="3"/>
      <c r="G7" s="3"/>
      <c r="H7" s="2">
        <v>0</v>
      </c>
      <c r="I7" s="2">
        <v>2</v>
      </c>
      <c r="J7" s="2">
        <v>5</v>
      </c>
      <c r="K7" s="14">
        <f t="shared" si="0"/>
        <v>-56.666666666666664</v>
      </c>
      <c r="L7" s="15">
        <f t="shared" si="2"/>
        <v>-0.96045197740112986</v>
      </c>
    </row>
    <row r="8" spans="1:12" x14ac:dyDescent="0.25">
      <c r="A8" s="12" t="s">
        <v>16</v>
      </c>
      <c r="B8" s="1" t="s">
        <v>17</v>
      </c>
      <c r="C8" s="13">
        <v>45962</v>
      </c>
      <c r="D8" s="5">
        <v>15</v>
      </c>
      <c r="E8" s="14">
        <f t="shared" si="1"/>
        <v>4</v>
      </c>
      <c r="F8" s="2">
        <v>0</v>
      </c>
      <c r="G8" s="4">
        <v>0</v>
      </c>
      <c r="H8" s="2">
        <v>10</v>
      </c>
      <c r="I8" s="2">
        <v>10</v>
      </c>
      <c r="J8" s="2">
        <v>0</v>
      </c>
      <c r="K8" s="14">
        <f t="shared" si="0"/>
        <v>-11</v>
      </c>
      <c r="L8" s="15">
        <f t="shared" si="2"/>
        <v>-0.73333333333333328</v>
      </c>
    </row>
    <row r="9" spans="1:12" x14ac:dyDescent="0.25">
      <c r="A9" s="12" t="s">
        <v>16</v>
      </c>
      <c r="B9" s="1" t="s">
        <v>18</v>
      </c>
      <c r="C9" s="13">
        <v>45962</v>
      </c>
      <c r="D9" s="5">
        <v>45</v>
      </c>
      <c r="E9" s="14">
        <f t="shared" si="1"/>
        <v>6.2</v>
      </c>
      <c r="F9" s="2">
        <v>9</v>
      </c>
      <c r="G9" s="4">
        <v>9</v>
      </c>
      <c r="H9" s="2">
        <v>13</v>
      </c>
      <c r="I9" s="2">
        <v>0</v>
      </c>
      <c r="J9" s="2">
        <v>0</v>
      </c>
      <c r="K9" s="14">
        <f t="shared" si="0"/>
        <v>-38.799999999999997</v>
      </c>
      <c r="L9" s="15">
        <f t="shared" si="2"/>
        <v>-0.86222222222222211</v>
      </c>
    </row>
    <row r="10" spans="1:12" x14ac:dyDescent="0.25">
      <c r="A10" s="12" t="s">
        <v>16</v>
      </c>
      <c r="B10" s="1" t="s">
        <v>19</v>
      </c>
      <c r="C10" s="13">
        <v>45962</v>
      </c>
      <c r="D10" s="5">
        <v>12</v>
      </c>
      <c r="E10" s="14">
        <f t="shared" si="1"/>
        <v>2.6666666666666665</v>
      </c>
      <c r="F10" s="3"/>
      <c r="G10" s="4"/>
      <c r="H10" s="2">
        <v>3</v>
      </c>
      <c r="I10" s="2">
        <v>3</v>
      </c>
      <c r="J10" s="2">
        <v>2</v>
      </c>
      <c r="K10" s="14">
        <f t="shared" si="0"/>
        <v>-9.3333333333333339</v>
      </c>
      <c r="L10" s="15">
        <f t="shared" si="2"/>
        <v>-0.77777777777777779</v>
      </c>
    </row>
    <row r="11" spans="1:12" x14ac:dyDescent="0.25">
      <c r="A11" s="12" t="s">
        <v>20</v>
      </c>
      <c r="B11" s="1" t="s">
        <v>21</v>
      </c>
      <c r="C11" s="13">
        <v>45962</v>
      </c>
      <c r="D11" s="5">
        <v>20</v>
      </c>
      <c r="E11" s="14">
        <f t="shared" si="1"/>
        <v>0.8</v>
      </c>
      <c r="F11" s="2">
        <v>0</v>
      </c>
      <c r="G11" s="2">
        <v>0</v>
      </c>
      <c r="H11" s="2">
        <v>2</v>
      </c>
      <c r="I11" s="2">
        <v>1</v>
      </c>
      <c r="J11" s="2">
        <v>1</v>
      </c>
      <c r="K11" s="14">
        <f t="shared" si="0"/>
        <v>-19.2</v>
      </c>
      <c r="L11" s="15">
        <f t="shared" si="2"/>
        <v>-0.96</v>
      </c>
    </row>
    <row r="12" spans="1:12" x14ac:dyDescent="0.25">
      <c r="A12" s="12" t="s">
        <v>20</v>
      </c>
      <c r="B12" s="1" t="s">
        <v>22</v>
      </c>
      <c r="C12" s="13">
        <v>45962</v>
      </c>
      <c r="D12" s="5">
        <v>7</v>
      </c>
      <c r="E12" s="14">
        <f t="shared" si="1"/>
        <v>2.6</v>
      </c>
      <c r="F12" s="2">
        <v>0</v>
      </c>
      <c r="G12" s="2">
        <v>0</v>
      </c>
      <c r="H12" s="2">
        <v>5</v>
      </c>
      <c r="I12" s="2">
        <v>5</v>
      </c>
      <c r="J12" s="2">
        <v>3</v>
      </c>
      <c r="K12" s="14">
        <f t="shared" si="0"/>
        <v>-4.4000000000000004</v>
      </c>
      <c r="L12" s="15">
        <f t="shared" si="2"/>
        <v>-0.62857142857142867</v>
      </c>
    </row>
    <row r="13" spans="1:12" x14ac:dyDescent="0.25">
      <c r="A13" s="12" t="s">
        <v>20</v>
      </c>
      <c r="B13" s="1" t="s">
        <v>23</v>
      </c>
      <c r="C13" s="13">
        <v>45962</v>
      </c>
      <c r="D13" s="5">
        <v>7</v>
      </c>
      <c r="E13" s="14">
        <f t="shared" si="1"/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14">
        <f t="shared" si="0"/>
        <v>-7</v>
      </c>
      <c r="L13" s="15">
        <f t="shared" si="2"/>
        <v>-1</v>
      </c>
    </row>
    <row r="14" spans="1:12" x14ac:dyDescent="0.25">
      <c r="A14" s="12" t="s">
        <v>20</v>
      </c>
      <c r="B14" s="1" t="s">
        <v>24</v>
      </c>
      <c r="C14" s="13">
        <v>45962</v>
      </c>
      <c r="D14" s="5">
        <v>7</v>
      </c>
      <c r="E14" s="14">
        <f t="shared" si="1"/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14">
        <f>E14-D14</f>
        <v>-7</v>
      </c>
      <c r="L14" s="15">
        <f t="shared" si="2"/>
        <v>-1</v>
      </c>
    </row>
    <row r="15" spans="1:12" x14ac:dyDescent="0.25">
      <c r="A15" s="12" t="s">
        <v>20</v>
      </c>
      <c r="B15" s="1" t="s">
        <v>18</v>
      </c>
      <c r="C15" s="13">
        <v>45962</v>
      </c>
      <c r="D15" s="5">
        <v>7</v>
      </c>
      <c r="E15" s="14">
        <f t="shared" si="1"/>
        <v>2.6</v>
      </c>
      <c r="F15" s="2">
        <v>0</v>
      </c>
      <c r="G15" s="2">
        <v>0</v>
      </c>
      <c r="H15" s="2">
        <v>9</v>
      </c>
      <c r="I15" s="2">
        <v>0</v>
      </c>
      <c r="J15" s="2">
        <v>4</v>
      </c>
      <c r="K15" s="14">
        <f>E15-D15</f>
        <v>-4.4000000000000004</v>
      </c>
      <c r="L15" s="15">
        <f t="shared" si="2"/>
        <v>-0.62857142857142867</v>
      </c>
    </row>
    <row r="16" spans="1:12" ht="15.75" x14ac:dyDescent="0.25">
      <c r="A16" s="16" t="s">
        <v>25</v>
      </c>
      <c r="B16" s="17"/>
      <c r="C16" s="6"/>
      <c r="D16" s="7">
        <f>SUM(D2:D15)</f>
        <v>284</v>
      </c>
      <c r="E16" s="7">
        <f>SUM(E2:E15)</f>
        <v>37.6</v>
      </c>
      <c r="F16" s="7">
        <f t="shared" ref="F16:K16" si="3">SUM(F2:F15)</f>
        <v>10</v>
      </c>
      <c r="G16" s="7">
        <f t="shared" si="3"/>
        <v>10</v>
      </c>
      <c r="H16" s="7">
        <f t="shared" si="3"/>
        <v>59</v>
      </c>
      <c r="I16" s="7">
        <f t="shared" si="3"/>
        <v>44</v>
      </c>
      <c r="J16" s="7">
        <f t="shared" si="3"/>
        <v>39</v>
      </c>
      <c r="K16" s="7">
        <f t="shared" si="3"/>
        <v>-246.4</v>
      </c>
      <c r="L16" s="8">
        <f>K16/D16</f>
        <v>-0.86760563380281697</v>
      </c>
    </row>
  </sheetData>
  <mergeCells count="1">
    <mergeCell ref="A16:B16"/>
  </mergeCells>
  <conditionalFormatting sqref="L11:L15">
    <cfRule type="cellIs" dxfId="38" priority="1" operator="between">
      <formula>-115%</formula>
      <formula>-0.29</formula>
    </cfRule>
    <cfRule type="cellIs" dxfId="37" priority="2" operator="between">
      <formula>-30</formula>
      <formula>-49</formula>
    </cfRule>
    <cfRule type="cellIs" dxfId="36" priority="3" operator="between">
      <formula>-11%</formula>
      <formula>-0.29</formula>
    </cfRule>
    <cfRule type="cellIs" dxfId="35" priority="4" operator="between">
      <formula>-0.3</formula>
      <formula>-0.49</formula>
    </cfRule>
    <cfRule type="cellIs" dxfId="34" priority="5" operator="lessThan">
      <formula>-0.5</formula>
    </cfRule>
    <cfRule type="cellIs" dxfId="33" priority="6" operator="lessThan">
      <formula>-50</formula>
    </cfRule>
    <cfRule type="cellIs" dxfId="32" priority="7" operator="between">
      <formula>-20</formula>
      <formula>-29</formula>
    </cfRule>
    <cfRule type="cellIs" dxfId="31" priority="8" operator="lessThan">
      <formula>-50</formula>
    </cfRule>
    <cfRule type="cellIs" dxfId="30" priority="9" operator="greaterThan">
      <formula>-0.1</formula>
    </cfRule>
    <cfRule type="cellIs" dxfId="29" priority="10" operator="lessThan">
      <formula>-0.8</formula>
    </cfRule>
    <cfRule type="cellIs" dxfId="28" priority="11" operator="lessThanOrEqual">
      <formula>-0.15</formula>
    </cfRule>
    <cfRule type="cellIs" dxfId="27" priority="12" operator="greaterThan">
      <formula>0</formula>
    </cfRule>
    <cfRule type="cellIs" dxfId="26" priority="13" operator="between">
      <formula>0</formula>
      <formula>-0.15</formula>
    </cfRule>
  </conditionalFormatting>
  <conditionalFormatting sqref="L2:L7">
    <cfRule type="cellIs" dxfId="25" priority="27" operator="between">
      <formula>-115%</formula>
      <formula>-0.29</formula>
    </cfRule>
    <cfRule type="cellIs" dxfId="24" priority="28" operator="between">
      <formula>-30</formula>
      <formula>-49</formula>
    </cfRule>
    <cfRule type="cellIs" dxfId="23" priority="29" operator="between">
      <formula>-11%</formula>
      <formula>-0.29</formula>
    </cfRule>
    <cfRule type="cellIs" dxfId="22" priority="30" operator="between">
      <formula>-0.3</formula>
      <formula>-0.49</formula>
    </cfRule>
    <cfRule type="cellIs" dxfId="21" priority="31" operator="lessThan">
      <formula>-0.5</formula>
    </cfRule>
    <cfRule type="cellIs" dxfId="20" priority="32" operator="lessThan">
      <formula>-50</formula>
    </cfRule>
    <cfRule type="cellIs" dxfId="19" priority="33" operator="between">
      <formula>-20</formula>
      <formula>-29</formula>
    </cfRule>
    <cfRule type="cellIs" dxfId="18" priority="34" operator="lessThan">
      <formula>-50</formula>
    </cfRule>
    <cfRule type="cellIs" dxfId="17" priority="35" operator="greaterThan">
      <formula>-0.1</formula>
    </cfRule>
    <cfRule type="cellIs" dxfId="16" priority="36" operator="lessThan">
      <formula>-0.8</formula>
    </cfRule>
    <cfRule type="cellIs" dxfId="15" priority="37" operator="lessThanOrEqual">
      <formula>-0.15</formula>
    </cfRule>
    <cfRule type="cellIs" dxfId="14" priority="38" operator="greaterThan">
      <formula>0</formula>
    </cfRule>
    <cfRule type="cellIs" dxfId="13" priority="39" operator="between">
      <formula>0</formula>
      <formula>-0.15</formula>
    </cfRule>
  </conditionalFormatting>
  <conditionalFormatting sqref="L8:L10">
    <cfRule type="cellIs" dxfId="12" priority="14" operator="between">
      <formula>-115%</formula>
      <formula>-0.29</formula>
    </cfRule>
    <cfRule type="cellIs" dxfId="11" priority="15" operator="between">
      <formula>-30</formula>
      <formula>-49</formula>
    </cfRule>
    <cfRule type="cellIs" dxfId="10" priority="16" operator="between">
      <formula>-11%</formula>
      <formula>-0.29</formula>
    </cfRule>
    <cfRule type="cellIs" dxfId="9" priority="17" operator="between">
      <formula>-0.3</formula>
      <formula>-0.49</formula>
    </cfRule>
    <cfRule type="cellIs" dxfId="8" priority="18" operator="lessThan">
      <formula>-0.5</formula>
    </cfRule>
    <cfRule type="cellIs" dxfId="7" priority="19" operator="lessThan">
      <formula>-50</formula>
    </cfRule>
    <cfRule type="cellIs" dxfId="6" priority="20" operator="between">
      <formula>-20</formula>
      <formula>-29</formula>
    </cfRule>
    <cfRule type="cellIs" dxfId="5" priority="21" operator="lessThan">
      <formula>-50</formula>
    </cfRule>
    <cfRule type="cellIs" dxfId="4" priority="22" operator="greaterThan">
      <formula>-0.1</formula>
    </cfRule>
    <cfRule type="cellIs" dxfId="3" priority="23" operator="lessThan">
      <formula>-0.8</formula>
    </cfRule>
    <cfRule type="cellIs" dxfId="2" priority="24" operator="lessThanOrEqual">
      <formula>-0.15</formula>
    </cfRule>
    <cfRule type="cellIs" dxfId="1" priority="25" operator="greaterThan">
      <formula>0</formula>
    </cfRule>
    <cfRule type="cellIs" dxfId="0" priority="26" operator="between">
      <formula>0</formula>
      <formula>-0.15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</cp:lastModifiedBy>
  <dcterms:created xsi:type="dcterms:W3CDTF">2015-06-05T18:17:20Z</dcterms:created>
  <dcterms:modified xsi:type="dcterms:W3CDTF">2025-12-24T05:36:30Z</dcterms:modified>
</cp:coreProperties>
</file>